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10980"/>
  </bookViews>
  <sheets>
    <sheet name="R5953007_YC001_541770_PD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<sst xmlns="http://schemas.openxmlformats.org/spreadsheetml/2006/main" count="79" uniqueCount="63">
  <si>
    <t>TONG HEER FASTENERS (THAILAND) CO., LTD.</t>
  </si>
  <si>
    <t>PINTHONG INDUSTRIAL ESTATE, 150/69 MOO 9, T. NONGKHAM,</t>
  </si>
  <si>
    <t xml:space="preserve"> A. SRIRACHA, CHONBURI 20110, THAILAND.</t>
  </si>
  <si>
    <t>Export Summary Report</t>
  </si>
  <si>
    <t>Invoice# :</t>
  </si>
  <si>
    <t>2THA2609085</t>
  </si>
  <si>
    <t>Doc# :</t>
  </si>
  <si>
    <t>Shipment# :</t>
  </si>
  <si>
    <t>ETD :</t>
  </si>
  <si>
    <t>Customer :</t>
  </si>
  <si>
    <t>FASTENAL COMPANY PURCHASING</t>
  </si>
  <si>
    <t>ETA :</t>
  </si>
  <si>
    <t>L/C # :</t>
  </si>
  <si>
    <t>Container# :</t>
  </si>
  <si>
    <t>Currency Code</t>
  </si>
  <si>
    <t>USD</t>
  </si>
  <si>
    <t>Seal# :</t>
  </si>
  <si>
    <t>Shipping Term :</t>
  </si>
  <si>
    <t>FOB INDIANAPOLIS, IN (IHUB)</t>
  </si>
  <si>
    <t>Made In Thailand</t>
  </si>
  <si>
    <t>Sub Group</t>
  </si>
  <si>
    <t>Material</t>
  </si>
  <si>
    <t>Quantity</t>
  </si>
  <si>
    <t>Ctns</t>
  </si>
  <si>
    <t>NetWeight</t>
  </si>
  <si>
    <t>GrossWeight</t>
  </si>
  <si>
    <t>Amount</t>
  </si>
  <si>
    <t>HEX. SOCKET SCREWS STAINLESS STEEL 304</t>
  </si>
  <si>
    <t>( MODEL : HEX SOCKET 304 )</t>
  </si>
  <si>
    <t>Sub Total For :</t>
  </si>
  <si>
    <t>A01833</t>
  </si>
  <si>
    <t>***</t>
  </si>
  <si>
    <t>HEX. SOCKET SCREWS STAINLESS STEEL 316</t>
  </si>
  <si>
    <t>( MODEL : HEX SOCKET 316 )</t>
  </si>
  <si>
    <t>HEX. BUTTON SOCKET SCREWS STAINLESS STEEL 304</t>
  </si>
  <si>
    <t>( MODEL : HEX. BUTTON 304 )</t>
  </si>
  <si>
    <t>A01834</t>
  </si>
  <si>
    <t>HEX. CARRIAGE BOLTS STAINLESS STEEL 316</t>
  </si>
  <si>
    <t>( MODEL : HEX CARRIAGE 316 )</t>
  </si>
  <si>
    <t>A0185C</t>
  </si>
  <si>
    <t>HEX BOLTS ( NO WASHER FACE ) STAINLESS STEEL 316</t>
  </si>
  <si>
    <t>( MODEL : HEX BOLTS 316 )</t>
  </si>
  <si>
    <t>A18212</t>
  </si>
  <si>
    <t>HEX CAP SCREWS STAINLESS STEEL 304</t>
  </si>
  <si>
    <t>( MODEL : HEX CAP 304 )</t>
  </si>
  <si>
    <t>A18214</t>
  </si>
  <si>
    <t>HEX CAP SCREWS STAINLESS STEEL 316</t>
  </si>
  <si>
    <t>( MODEL : HEX CAP 316 )</t>
  </si>
  <si>
    <t>Grand Total :</t>
  </si>
  <si>
    <t>pcs</t>
  </si>
  <si>
    <t>Total Net Weight (Kgs) :</t>
  </si>
  <si>
    <t>Total Gross Weight (Kgs) :</t>
  </si>
  <si>
    <t>INVOICE NO</t>
  </si>
  <si>
    <t>N.W.</t>
  </si>
  <si>
    <t>G.W.</t>
  </si>
  <si>
    <t>P/L</t>
  </si>
  <si>
    <t>AMOUNT</t>
  </si>
  <si>
    <t>Total Pallet :</t>
  </si>
  <si>
    <t>Pallets For Cartons/Boxes</t>
  </si>
  <si>
    <t>2THA2609084</t>
  </si>
  <si>
    <t>TOTAL =</t>
  </si>
  <si>
    <t>Marking :</t>
  </si>
  <si>
    <t>FASTCO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</si>
</sst>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_-;\-* #,##0_-;_-* &quot;-&quot;??_-;_-@_-"/>
  </numFmts>
  <fonts count="21">
    <font>
      <sz val="11"/>
      <color theme="1"/>
      <name val="Calibri"/>
      <charset val="22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222"/>
      <scheme val="minor"/>
    </font>
    <font>
      <sz val="18"/>
      <color theme="3"/>
      <name val="Calibri Light"/>
      <charset val="222"/>
      <scheme val="major"/>
    </font>
    <font>
      <i/>
      <sz val="11"/>
      <color rgb="FF7F7F7F"/>
      <name val="Calibri"/>
      <charset val="222"/>
      <scheme val="minor"/>
    </font>
    <font>
      <b/>
      <sz val="15"/>
      <color theme="3"/>
      <name val="Calibri"/>
      <charset val="222"/>
      <scheme val="minor"/>
    </font>
    <font>
      <b/>
      <sz val="13"/>
      <color theme="3"/>
      <name val="Calibri"/>
      <charset val="222"/>
      <scheme val="minor"/>
    </font>
    <font>
      <b/>
      <sz val="11"/>
      <color theme="3"/>
      <name val="Calibri"/>
      <charset val="222"/>
      <scheme val="minor"/>
    </font>
    <font>
      <sz val="11"/>
      <color rgb="FF3F3F76"/>
      <name val="Calibri"/>
      <charset val="222"/>
      <scheme val="minor"/>
    </font>
    <font>
      <b/>
      <sz val="11"/>
      <color rgb="FF3F3F3F"/>
      <name val="Calibri"/>
      <charset val="222"/>
      <scheme val="minor"/>
    </font>
    <font>
      <b/>
      <sz val="11"/>
      <color rgb="FFFA7D00"/>
      <name val="Calibri"/>
      <charset val="222"/>
      <scheme val="minor"/>
    </font>
    <font>
      <b/>
      <sz val="11"/>
      <color theme="0"/>
      <name val="Calibri"/>
      <charset val="222"/>
      <scheme val="minor"/>
    </font>
    <font>
      <sz val="11"/>
      <color rgb="FFFA7D00"/>
      <name val="Calibri"/>
      <charset val="222"/>
      <scheme val="minor"/>
    </font>
    <font>
      <b/>
      <sz val="11"/>
      <color theme="1"/>
      <name val="Calibri"/>
      <charset val="222"/>
      <scheme val="minor"/>
    </font>
    <font>
      <sz val="11"/>
      <color rgb="FF006100"/>
      <name val="Calibri"/>
      <charset val="222"/>
      <scheme val="minor"/>
    </font>
    <font>
      <sz val="11"/>
      <color rgb="FF9C0006"/>
      <name val="Calibri"/>
      <charset val="222"/>
      <scheme val="minor"/>
    </font>
    <font>
      <sz val="11"/>
      <color rgb="FF9C6500"/>
      <name val="Calibri"/>
      <charset val="222"/>
      <scheme val="minor"/>
    </font>
    <font>
      <sz val="11"/>
      <color theme="0"/>
      <name val="Calibri"/>
      <charset val="22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9CC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6" borderId="7" applyNumberFormat="0" applyAlignment="0" applyProtection="0"/>
    <xf numFmtId="0" fontId="12" fillId="7" borderId="8" applyNumberFormat="0" applyAlignment="0" applyProtection="0"/>
    <xf numFmtId="0" fontId="13" fillId="7" borderId="7" applyNumberFormat="0" applyAlignment="0" applyProtection="0"/>
    <xf numFmtId="0" fontId="14" fillId="8" borderId="9" applyNumberFormat="0" applyAlignment="0" applyProtection="0"/>
    <xf numFmtId="0" fontId="15" fillId="0" borderId="10" applyNumberFormat="0" applyFill="0" applyAlignment="0" applyProtection="0"/>
    <xf numFmtId="0" fontId="16" fillId="0" borderId="11" applyNumberFormat="0" applyFill="0" applyAlignment="0" applyProtection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20" fillId="35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3" borderId="0" xfId="0" applyFill="1"/>
    <xf numFmtId="176" fontId="0" fillId="3" borderId="0" xfId="1" applyFont="1" applyFill="1"/>
    <xf numFmtId="176" fontId="0" fillId="0" borderId="0" xfId="1" applyFont="1"/>
    <xf numFmtId="176" fontId="1" fillId="2" borderId="1" xfId="1" applyFont="1" applyFill="1" applyBorder="1"/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 vertical="center"/>
    </xf>
    <xf numFmtId="176" fontId="0" fillId="5" borderId="2" xfId="1" applyFont="1" applyFill="1" applyBorder="1"/>
    <xf numFmtId="178" fontId="0" fillId="5" borderId="2" xfId="1" applyNumberFormat="1" applyFont="1" applyFill="1" applyBorder="1"/>
    <xf numFmtId="176" fontId="1" fillId="4" borderId="2" xfId="1" applyFont="1" applyFill="1" applyBorder="1"/>
    <xf numFmtId="178" fontId="1" fillId="4" borderId="2" xfId="1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FCC"/>
      <color rgb="0099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abSelected="1" topLeftCell="A7" workbookViewId="0">
      <selection activeCell="C43" sqref="C43"/>
    </sheetView>
  </sheetViews>
  <sheetFormatPr defaultColWidth="9" defaultRowHeight="15"/>
  <cols>
    <col min="5" max="5" width="29.8571428571429" customWidth="1"/>
    <col min="8" max="8" width="9.71428571428571" customWidth="1"/>
    <col min="9" max="9" width="9.57142857142857" customWidth="1"/>
    <col min="10" max="10" width="9.71428571428571" customWidth="1"/>
    <col min="11" max="12" width="10.5714285714286" customWidth="1"/>
  </cols>
  <sheetData>
    <row r="1" spans="1:12">
      <c r="F1" t="s">
        <v>0</v>
      </c>
    </row>
    <row r="2" spans="1:12">
      <c r="B2" t="s">
        <v>1</v>
      </c>
    </row>
    <row r="3" spans="1:12">
      <c r="B3" t="s">
        <v>2</v>
      </c>
    </row>
    <row r="4" spans="1:12">
      <c r="F4" t="s">
        <v>3</v>
      </c>
    </row>
    <row r="5" spans="1:12">
      <c r="A5" t="s">
        <v>4</v>
      </c>
      <c r="B5" t="s">
        <v>5</v>
      </c>
      <c r="L5" s="1">
        <v>46302</v>
      </c>
    </row>
    <row r="6" spans="1:12">
      <c r="A6" t="s">
        <v>6</v>
      </c>
      <c r="B6">
        <v>24575</v>
      </c>
      <c r="D6" t="s">
        <v>7</v>
      </c>
      <c r="E6">
        <v>55341</v>
      </c>
    </row>
    <row r="7" spans="1:12">
      <c r="J7" t="s">
        <v>8</v>
      </c>
      <c r="K7" s="1">
        <v>46306</v>
      </c>
    </row>
    <row r="8" spans="1:12">
      <c r="A8" t="s">
        <v>9</v>
      </c>
      <c r="B8" t="s">
        <v>10</v>
      </c>
    </row>
    <row r="9" spans="1:12">
      <c r="J9" t="s">
        <v>11</v>
      </c>
      <c r="K9" s="1">
        <v>46346</v>
      </c>
    </row>
    <row r="10" spans="1:12">
      <c r="A10" t="s">
        <v>12</v>
      </c>
    </row>
    <row r="11" spans="1:12">
      <c r="J11" t="s">
        <v>13</v>
      </c>
    </row>
    <row r="12" spans="1:12">
      <c r="A12" t="s">
        <v>14</v>
      </c>
      <c r="C12" t="s">
        <v>15</v>
      </c>
    </row>
    <row r="13" spans="1:12">
      <c r="J13" t="s">
        <v>16</v>
      </c>
    </row>
    <row r="14" spans="1:12">
      <c r="J14" t="s">
        <v>17</v>
      </c>
      <c r="L14" t="s">
        <v>18</v>
      </c>
    </row>
    <row r="15" spans="1:12">
      <c r="A15" t="s">
        <v>19</v>
      </c>
    </row>
    <row r="16" spans="1:12">
      <c r="C16" t="s">
        <v>20</v>
      </c>
      <c r="D16" t="s">
        <v>21</v>
      </c>
      <c r="F16" s="2" t="s">
        <v>22</v>
      </c>
      <c r="G16" s="2" t="s">
        <v>23</v>
      </c>
      <c r="H16" s="2" t="s">
        <v>24</v>
      </c>
      <c r="I16" s="2"/>
      <c r="J16" s="2" t="s">
        <v>25</v>
      </c>
      <c r="K16" s="2"/>
      <c r="L16" s="2" t="s">
        <v>26</v>
      </c>
    </row>
    <row r="17" spans="1:12">
      <c r="C17" t="s">
        <v>27</v>
      </c>
    </row>
    <row r="18" spans="1:12">
      <c r="C18" t="s">
        <v>28</v>
      </c>
    </row>
    <row r="19" spans="1:12">
      <c r="A19" s="3" t="s">
        <v>29</v>
      </c>
      <c r="B19" s="3"/>
      <c r="C19" s="3" t="s">
        <v>30</v>
      </c>
      <c r="D19" s="3">
        <v>304</v>
      </c>
      <c r="E19" s="3"/>
      <c r="F19" s="3">
        <v>1300</v>
      </c>
      <c r="G19" s="3">
        <v>4</v>
      </c>
      <c r="H19" s="4">
        <v>100.91</v>
      </c>
      <c r="I19" s="4"/>
      <c r="J19" s="4">
        <v>104.48</v>
      </c>
      <c r="K19" s="4"/>
      <c r="L19" s="4">
        <v>320.53</v>
      </c>
    </row>
    <row r="20" spans="1:12">
      <c r="A20" t="s">
        <v>31</v>
      </c>
      <c r="H20" s="5"/>
      <c r="I20" s="5"/>
      <c r="J20" s="5"/>
      <c r="K20" s="5"/>
      <c r="L20" s="5"/>
    </row>
    <row r="21" spans="1:12">
      <c r="C21" t="s">
        <v>32</v>
      </c>
      <c r="H21" s="5"/>
      <c r="I21" s="5"/>
      <c r="J21" s="5"/>
      <c r="K21" s="5"/>
      <c r="L21" s="5"/>
    </row>
    <row r="22" spans="1:12">
      <c r="C22" t="s">
        <v>33</v>
      </c>
      <c r="H22" s="5"/>
      <c r="I22" s="5"/>
      <c r="J22" s="5"/>
      <c r="K22" s="5"/>
      <c r="L22" s="5"/>
    </row>
    <row r="23" spans="1:12">
      <c r="A23" s="3" t="s">
        <v>29</v>
      </c>
      <c r="B23" s="3"/>
      <c r="C23" s="3" t="s">
        <v>30</v>
      </c>
      <c r="D23" s="3">
        <v>316</v>
      </c>
      <c r="E23" s="3"/>
      <c r="F23" s="3">
        <v>24500</v>
      </c>
      <c r="G23" s="3">
        <v>13</v>
      </c>
      <c r="H23" s="4">
        <v>232.08</v>
      </c>
      <c r="I23" s="4"/>
      <c r="J23" s="4">
        <v>243.12</v>
      </c>
      <c r="K23" s="4"/>
      <c r="L23" s="4">
        <v>1237.61</v>
      </c>
    </row>
    <row r="24" spans="1:12">
      <c r="A24" t="s">
        <v>31</v>
      </c>
      <c r="H24" s="5"/>
      <c r="I24" s="5"/>
      <c r="J24" s="5"/>
      <c r="K24" s="5"/>
      <c r="L24" s="5"/>
    </row>
    <row r="25" spans="1:12">
      <c r="C25" t="s">
        <v>34</v>
      </c>
      <c r="H25" s="5"/>
      <c r="I25" s="5"/>
      <c r="J25" s="5"/>
      <c r="K25" s="5"/>
      <c r="L25" s="5"/>
    </row>
    <row r="26" spans="1:12">
      <c r="C26" t="s">
        <v>35</v>
      </c>
      <c r="H26" s="5"/>
      <c r="I26" s="5"/>
      <c r="J26" s="5"/>
      <c r="K26" s="5"/>
      <c r="L26" s="5"/>
    </row>
    <row r="27" spans="1:12">
      <c r="A27" s="3" t="s">
        <v>29</v>
      </c>
      <c r="B27" s="3"/>
      <c r="C27" s="3" t="s">
        <v>36</v>
      </c>
      <c r="D27" s="3">
        <v>304</v>
      </c>
      <c r="E27" s="3"/>
      <c r="F27" s="3">
        <v>15000</v>
      </c>
      <c r="G27" s="3">
        <v>3</v>
      </c>
      <c r="H27" s="4">
        <v>58.5</v>
      </c>
      <c r="I27" s="4"/>
      <c r="J27" s="4">
        <v>61.75</v>
      </c>
      <c r="K27" s="4"/>
      <c r="L27" s="4">
        <v>212.1</v>
      </c>
    </row>
    <row r="28" spans="1:12">
      <c r="A28" t="s">
        <v>31</v>
      </c>
      <c r="H28" s="5"/>
      <c r="I28" s="5"/>
      <c r="J28" s="5"/>
      <c r="K28" s="5"/>
      <c r="L28" s="5"/>
    </row>
    <row r="29" spans="1:12">
      <c r="C29" t="s">
        <v>37</v>
      </c>
      <c r="H29" s="5"/>
      <c r="I29" s="5"/>
      <c r="J29" s="5"/>
      <c r="K29" s="5"/>
      <c r="L29" s="5"/>
    </row>
    <row r="30" spans="1:12">
      <c r="C30" t="s">
        <v>38</v>
      </c>
      <c r="H30" s="5"/>
      <c r="I30" s="5"/>
      <c r="J30" s="5"/>
      <c r="K30" s="5"/>
      <c r="L30" s="5"/>
    </row>
    <row r="31" spans="1:12">
      <c r="A31" s="3" t="s">
        <v>29</v>
      </c>
      <c r="B31" s="3"/>
      <c r="C31" s="3" t="s">
        <v>39</v>
      </c>
      <c r="D31" s="3">
        <v>316</v>
      </c>
      <c r="E31" s="3"/>
      <c r="F31" s="3">
        <v>10150</v>
      </c>
      <c r="G31" s="3">
        <v>14</v>
      </c>
      <c r="H31" s="4">
        <v>227.19</v>
      </c>
      <c r="I31" s="4"/>
      <c r="J31" s="4">
        <v>238.55</v>
      </c>
      <c r="K31" s="4"/>
      <c r="L31" s="4">
        <v>1280.8</v>
      </c>
    </row>
    <row r="32" spans="1:12">
      <c r="A32" t="s">
        <v>31</v>
      </c>
      <c r="H32" s="5"/>
      <c r="I32" s="5"/>
      <c r="J32" s="5"/>
      <c r="K32" s="5"/>
      <c r="L32" s="5"/>
    </row>
    <row r="33" spans="1:12">
      <c r="C33" t="s">
        <v>40</v>
      </c>
      <c r="H33" s="5"/>
      <c r="I33" s="5"/>
      <c r="J33" s="5"/>
      <c r="K33" s="5"/>
      <c r="L33" s="5"/>
    </row>
    <row r="34" spans="1:12">
      <c r="C34" t="s">
        <v>41</v>
      </c>
      <c r="H34" s="5"/>
      <c r="I34" s="5"/>
      <c r="J34" s="5"/>
      <c r="K34" s="5"/>
      <c r="L34" s="5"/>
    </row>
    <row r="35" spans="1:12">
      <c r="A35" s="3" t="s">
        <v>29</v>
      </c>
      <c r="B35" s="3"/>
      <c r="C35" s="3" t="s">
        <v>42</v>
      </c>
      <c r="D35" s="3">
        <v>316</v>
      </c>
      <c r="E35" s="3"/>
      <c r="F35" s="3">
        <v>1400</v>
      </c>
      <c r="G35" s="3">
        <v>7</v>
      </c>
      <c r="H35" s="4">
        <v>161.28</v>
      </c>
      <c r="I35" s="4"/>
      <c r="J35" s="4">
        <v>165.81</v>
      </c>
      <c r="K35" s="4"/>
      <c r="L35" s="4">
        <v>860.59</v>
      </c>
    </row>
    <row r="36" spans="1:12">
      <c r="A36" t="s">
        <v>31</v>
      </c>
      <c r="H36" s="5"/>
      <c r="I36" s="5"/>
      <c r="J36" s="5"/>
      <c r="K36" s="5"/>
      <c r="L36" s="5"/>
    </row>
    <row r="37" spans="1:12">
      <c r="C37" t="s">
        <v>43</v>
      </c>
      <c r="H37" s="5"/>
      <c r="I37" s="5"/>
      <c r="J37" s="5"/>
      <c r="K37" s="5"/>
      <c r="L37" s="5"/>
    </row>
    <row r="38" spans="1:12">
      <c r="C38" t="s">
        <v>44</v>
      </c>
      <c r="H38" s="5"/>
      <c r="I38" s="5"/>
      <c r="J38" s="5"/>
      <c r="K38" s="5"/>
      <c r="L38" s="5"/>
    </row>
    <row r="39" spans="1:12">
      <c r="A39" s="3" t="s">
        <v>29</v>
      </c>
      <c r="B39" s="3"/>
      <c r="C39" s="3" t="s">
        <v>45</v>
      </c>
      <c r="D39" s="3">
        <v>304</v>
      </c>
      <c r="E39" s="3"/>
      <c r="F39" s="3">
        <v>49425</v>
      </c>
      <c r="G39" s="3">
        <v>51</v>
      </c>
      <c r="H39" s="4">
        <v>841.97</v>
      </c>
      <c r="I39" s="4"/>
      <c r="J39" s="4">
        <v>884.67</v>
      </c>
      <c r="K39" s="4"/>
      <c r="L39" s="4">
        <v>2562.52</v>
      </c>
    </row>
    <row r="40" spans="1:12">
      <c r="A40" t="s">
        <v>31</v>
      </c>
      <c r="H40" s="5"/>
      <c r="I40" s="5"/>
      <c r="J40" s="5"/>
      <c r="K40" s="5"/>
      <c r="L40" s="5"/>
    </row>
    <row r="41" spans="1:12">
      <c r="C41" t="s">
        <v>46</v>
      </c>
      <c r="H41" s="5"/>
      <c r="I41" s="5"/>
      <c r="J41" s="5"/>
      <c r="K41" s="5"/>
      <c r="L41" s="5"/>
    </row>
    <row r="42" spans="1:12">
      <c r="C42" t="s">
        <v>47</v>
      </c>
      <c r="H42" s="5"/>
      <c r="I42" s="5"/>
      <c r="J42" s="5"/>
      <c r="K42" s="5"/>
      <c r="L42" s="5"/>
    </row>
    <row r="43" spans="1:12">
      <c r="A43" s="3" t="s">
        <v>29</v>
      </c>
      <c r="B43" s="3"/>
      <c r="C43" s="3" t="s">
        <v>45</v>
      </c>
      <c r="D43" s="3">
        <v>316</v>
      </c>
      <c r="E43" s="3"/>
      <c r="F43" s="3">
        <v>34145</v>
      </c>
      <c r="G43" s="3">
        <v>78</v>
      </c>
      <c r="H43" s="4">
        <v>1319.28</v>
      </c>
      <c r="I43" s="4"/>
      <c r="J43" s="4">
        <v>1375.21</v>
      </c>
      <c r="K43" s="4"/>
      <c r="L43" s="4">
        <v>7049.28</v>
      </c>
    </row>
    <row r="44" ht="15.75" spans="1:12">
      <c r="A44" t="s">
        <v>31</v>
      </c>
      <c r="H44" s="6">
        <f>SUM(H19:H43)</f>
        <v>2941.21</v>
      </c>
      <c r="I44" s="6"/>
      <c r="J44" s="6">
        <f>SUM(J19:J43)</f>
        <v>3073.59</v>
      </c>
      <c r="K44" s="6"/>
      <c r="L44" s="6">
        <f>SUM(L19:L43)</f>
        <v>13523.43</v>
      </c>
    </row>
    <row r="45" ht="15.75" spans="1:12">
      <c r="A45" t="s">
        <v>48</v>
      </c>
      <c r="C45">
        <v>135920</v>
      </c>
      <c r="D45" t="s">
        <v>49</v>
      </c>
      <c r="E45">
        <v>170</v>
      </c>
      <c r="F45" t="s">
        <v>23</v>
      </c>
    </row>
    <row r="46" spans="1:12">
      <c r="A46" t="s">
        <v>50</v>
      </c>
      <c r="D46">
        <v>2941.21</v>
      </c>
    </row>
    <row r="47" spans="1:12">
      <c r="A47" t="s">
        <v>51</v>
      </c>
      <c r="D47">
        <v>3073.61</v>
      </c>
      <c r="F47" s="7" t="s">
        <v>52</v>
      </c>
      <c r="G47" s="7"/>
      <c r="H47" s="8" t="s">
        <v>53</v>
      </c>
      <c r="I47" s="8" t="s">
        <v>54</v>
      </c>
      <c r="J47" s="8" t="s">
        <v>55</v>
      </c>
      <c r="K47" s="9" t="s">
        <v>56</v>
      </c>
    </row>
    <row r="48" spans="1:12">
      <c r="A48" t="s">
        <v>57</v>
      </c>
      <c r="C48" s="10">
        <v>6</v>
      </c>
      <c r="D48" t="s">
        <v>58</v>
      </c>
      <c r="F48" s="11" t="s">
        <v>59</v>
      </c>
      <c r="G48" s="11"/>
      <c r="H48" s="12">
        <v>1181.36</v>
      </c>
      <c r="I48" s="12">
        <v>1242.12</v>
      </c>
      <c r="J48" s="13">
        <v>3</v>
      </c>
      <c r="K48" s="12">
        <v>5277.09</v>
      </c>
    </row>
    <row r="49" spans="1:11">
      <c r="F49" s="11" t="s">
        <v>5</v>
      </c>
      <c r="G49" s="11"/>
      <c r="H49" s="12">
        <v>1759.85</v>
      </c>
      <c r="I49" s="12">
        <v>1831.49</v>
      </c>
      <c r="J49" s="13">
        <v>3</v>
      </c>
      <c r="K49" s="12">
        <v>8246.34</v>
      </c>
    </row>
    <row r="50" spans="1:11">
      <c r="F50" s="7" t="s">
        <v>60</v>
      </c>
      <c r="G50" s="7"/>
      <c r="H50" s="14">
        <f>SUM(H48:H49)</f>
        <v>2941.21</v>
      </c>
      <c r="I50" s="14">
        <f>SUM(I48:I49)</f>
        <v>3073.61</v>
      </c>
      <c r="J50" s="15">
        <f>SUM(J48:J49)</f>
        <v>6</v>
      </c>
      <c r="K50" s="14">
        <f>SUM(K48:K49)</f>
        <v>13523.43</v>
      </c>
    </row>
    <row r="51" spans="1:11">
      <c r="A51" t="s">
        <v>61</v>
      </c>
      <c r="B51" t="s">
        <v>62</v>
      </c>
    </row>
  </sheetData>
  <mergeCells count="4">
    <mergeCell ref="F47:G47"/>
    <mergeCell ref="F48:G48"/>
    <mergeCell ref="F49:G49"/>
    <mergeCell ref="F50:G5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R5953007_YC001_541770_PDF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SHIPPING02</dc:creator>
  <cp:lastModifiedBy>User</cp:lastModifiedBy>
  <dcterms:created xsi:type="dcterms:W3CDTF">2026-10-06T04:19:00Z</dcterms:created>
  <dcterms:modified xsi:type="dcterms:W3CDTF">2026-10-08T12:56:22Z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2795104165A848A382CB47C469A46467_12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