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6855"/>
  </bookViews>
  <sheets>
    <sheet name="R5953007_YC001_546665_PDF" sheetId="1" r:id="rId1"/>
  </sheets>
  <calcPr calcId="145621"/>
</workbook>
</file>

<file path=xl/calcChain.xml><?xml version="1.0" encoding="utf-8"?>
<calcChain xmlns="http://schemas.openxmlformats.org/spreadsheetml/2006/main">
  <c r="H49" i="1" l="1"/>
  <c r="I49" i="1"/>
  <c r="J49" i="1"/>
  <c r="K49" i="1"/>
  <c r="H40" i="1"/>
  <c r="J40" i="1"/>
  <c r="L40" i="1"/>
</calcChain>
</file>

<file path=xl/sharedStrings.xml><?xml version="1.0" encoding="utf-8"?>
<sst xmlns="http://schemas.openxmlformats.org/spreadsheetml/2006/main" count="76" uniqueCount="63">
  <si>
    <t>TONG HEER FASTENERS (THAILAND) CO., LTD.</t>
  </si>
  <si>
    <t>AMATA NAKORN INDUSTRIAL ESTATE (Head Office) 700/553 MOO.7, DON HUA ROH, MUANG,</t>
  </si>
  <si>
    <t xml:space="preserve"> CHONBURI 20000, THAILAND.TEL:66-3-8454537-9 FAX:66-3-8454327</t>
  </si>
  <si>
    <t>Export Summary Report</t>
  </si>
  <si>
    <t>Invoice# :</t>
  </si>
  <si>
    <t>1THA2610009</t>
  </si>
  <si>
    <t>Doc# :</t>
  </si>
  <si>
    <t>Shipment# :</t>
  </si>
  <si>
    <t>ETD :</t>
  </si>
  <si>
    <t>Customer :</t>
  </si>
  <si>
    <t>STAR STAINLESS SCREW CO.</t>
  </si>
  <si>
    <t>ETA :</t>
  </si>
  <si>
    <t>L/C # :</t>
  </si>
  <si>
    <t>Container# :</t>
  </si>
  <si>
    <t>Currency Code</t>
  </si>
  <si>
    <t>USD</t>
  </si>
  <si>
    <t>Seal# :</t>
  </si>
  <si>
    <t>Shipping Term :</t>
  </si>
  <si>
    <t>FOB HOUSTON</t>
  </si>
  <si>
    <t>Made In Thailand</t>
  </si>
  <si>
    <t>Sub Group</t>
  </si>
  <si>
    <t>Material</t>
  </si>
  <si>
    <t>Quantity</t>
  </si>
  <si>
    <t>Ctns</t>
  </si>
  <si>
    <t>NetWeight</t>
  </si>
  <si>
    <t>GrossWeight</t>
  </si>
  <si>
    <t>Amount</t>
  </si>
  <si>
    <t>HEX CAP SCREWS STAINLESS STEEL 304</t>
  </si>
  <si>
    <t>( MODEL : HEX CAP 304 )</t>
  </si>
  <si>
    <t>Sub Total For :</t>
  </si>
  <si>
    <t>A18214</t>
  </si>
  <si>
    <t>***</t>
  </si>
  <si>
    <t>( MODEL : HEX LAG A2 )</t>
  </si>
  <si>
    <t>A18219</t>
  </si>
  <si>
    <t>DIN 912 HEX SOCKET SCREWS STAINLESS STEEL A2</t>
  </si>
  <si>
    <t>( MODEL : DIN 912 A2 )</t>
  </si>
  <si>
    <t>D09122</t>
  </si>
  <si>
    <t>DIN 931 HEX HEAD SCREW WITH SHANK STAINLESS STEEL A2</t>
  </si>
  <si>
    <t>( MODEL : DIN 931 A2 )</t>
  </si>
  <si>
    <t>D0931N</t>
  </si>
  <si>
    <t>DIN 933 HEX HEAD CAP SCREWS STAINLESS STEEL A2</t>
  </si>
  <si>
    <t>( MODEL : DIN 933 A2 )</t>
  </si>
  <si>
    <t>D0933N</t>
  </si>
  <si>
    <t>DIN 933 HEX HEAD CAP SCREWS STAINLESS STEEL A4</t>
  </si>
  <si>
    <t>( MODEL : DIN 933 A4 )</t>
  </si>
  <si>
    <t>Grand Total :</t>
  </si>
  <si>
    <t>pcs</t>
  </si>
  <si>
    <t>Total Net Weight (Kgs) :</t>
  </si>
  <si>
    <t>Total Gross Weight (Kgs) :</t>
  </si>
  <si>
    <t>Total Pallet :</t>
  </si>
  <si>
    <t>Pallets For Cartons/Boxes</t>
  </si>
  <si>
    <t>Marking :</t>
  </si>
  <si>
    <t>S.S.C</t>
  </si>
  <si>
    <t>HEX HEAD LAG SCREW STAINLESS STEEL A2</t>
  </si>
  <si>
    <t>INVOICE NO</t>
  </si>
  <si>
    <t>N.W.</t>
  </si>
  <si>
    <t>G.W.</t>
  </si>
  <si>
    <t>P/L</t>
  </si>
  <si>
    <t>AMOUNT</t>
  </si>
  <si>
    <t>1THA2610006</t>
  </si>
  <si>
    <t>1THA2610007</t>
  </si>
  <si>
    <t>1THA2610008</t>
  </si>
  <si>
    <t>TOTAL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</si>
</sst>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65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0E1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/>
    <xf numFmtId="0" fontId="18" fillId="0" borderId="0" xfId="0" applyFont="1" applyAlignment="1">
      <alignment horizontal="center"/>
    </xf>
    <xf numFmtId="0" fontId="18" fillId="33" borderId="0" xfId="0" applyFont="1" applyFill="1"/>
    <xf numFmtId="43" fontId="0" fillId="0" borderId="0" xfId="1" applyFont="1"/>
    <xf numFmtId="43" fontId="18" fillId="33" borderId="10" xfId="1" applyFont="1" applyFill="1" applyBorder="1"/>
    <xf numFmtId="0" fontId="0" fillId="34" borderId="0" xfId="0" applyFill="1"/>
    <xf numFmtId="43" fontId="0" fillId="34" borderId="0" xfId="1" applyFont="1" applyFill="1"/>
    <xf numFmtId="0" fontId="0" fillId="0" borderId="0" xfId="0" applyAlignment="1">
      <alignment vertical="center"/>
    </xf>
    <xf numFmtId="0" fontId="18" fillId="35" borderId="11" xfId="0" applyFont="1" applyFill="1" applyBorder="1" applyAlignment="1">
      <alignment horizontal="center" vertical="center"/>
    </xf>
    <xf numFmtId="43" fontId="0" fillId="36" borderId="11" xfId="1" applyFont="1" applyFill="1" applyBorder="1"/>
    <xf numFmtId="43" fontId="18" fillId="35" borderId="11" xfId="1" applyFont="1" applyFill="1" applyBorder="1"/>
    <xf numFmtId="164" fontId="0" fillId="36" borderId="11" xfId="1" applyNumberFormat="1" applyFont="1" applyFill="1" applyBorder="1"/>
    <xf numFmtId="164" fontId="18" fillId="35" borderId="11" xfId="1" applyNumberFormat="1" applyFont="1" applyFill="1" applyBorder="1"/>
    <xf numFmtId="0" fontId="18" fillId="35" borderId="11" xfId="0" applyFont="1" applyFill="1" applyBorder="1" applyAlignment="1">
      <alignment horizontal="center" vertical="center"/>
    </xf>
    <xf numFmtId="0" fontId="0" fillId="36" borderId="11" xfId="0" applyFill="1" applyBorder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F0E1FF"/>
      <color rgb="FFCC99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tabSelected="1" workbookViewId="0">
      <selection activeCell="H49" sqref="H49"/>
    </sheetView>
  </sheetViews>
  <sheetFormatPr defaultRowHeight="15"/>
  <cols>
    <col min="5" max="5" width="39" customWidth="1"/>
    <col min="8" max="8" width="10.7109375" bestFit="1" customWidth="1"/>
    <col min="9" max="9" width="10.5703125" bestFit="1" customWidth="1"/>
    <col min="10" max="10" width="10.7109375" bestFit="1" customWidth="1"/>
    <col min="11" max="11" width="12.42578125" customWidth="1"/>
    <col min="12" max="12" width="11.5703125" bestFit="1" customWidth="1"/>
  </cols>
  <sheetData>
    <row r="1" spans="1:12">
      <c r="F1" t="s">
        <v>0</v>
      </c>
    </row>
    <row r="2" spans="1:12">
      <c r="B2" t="s">
        <v>1</v>
      </c>
    </row>
    <row r="3" spans="1:12">
      <c r="B3" t="s">
        <v>2</v>
      </c>
    </row>
    <row r="4" spans="1:12">
      <c r="F4" t="s">
        <v>3</v>
      </c>
    </row>
    <row r="5" spans="1:12">
      <c r="A5" t="s">
        <v>4</v>
      </c>
      <c r="B5" t="s">
        <v>5</v>
      </c>
      <c r="L5" s="1">
        <v>46307</v>
      </c>
    </row>
    <row r="6" spans="1:12">
      <c r="A6" t="s">
        <v>6</v>
      </c>
      <c r="B6">
        <v>24775</v>
      </c>
      <c r="D6" t="s">
        <v>7</v>
      </c>
      <c r="E6">
        <v>55599</v>
      </c>
    </row>
    <row r="7" spans="1:12">
      <c r="J7" t="s">
        <v>8</v>
      </c>
      <c r="K7" s="1">
        <v>46313</v>
      </c>
    </row>
    <row r="8" spans="1:12">
      <c r="A8" t="s">
        <v>9</v>
      </c>
      <c r="B8" t="s">
        <v>10</v>
      </c>
    </row>
    <row r="9" spans="1:12">
      <c r="J9" t="s">
        <v>11</v>
      </c>
      <c r="K9" s="1">
        <v>46342</v>
      </c>
    </row>
    <row r="10" spans="1:12">
      <c r="A10" t="s">
        <v>12</v>
      </c>
    </row>
    <row r="11" spans="1:12">
      <c r="J11" t="s">
        <v>13</v>
      </c>
    </row>
    <row r="12" spans="1:12">
      <c r="A12" t="s">
        <v>14</v>
      </c>
      <c r="C12" t="s">
        <v>15</v>
      </c>
    </row>
    <row r="13" spans="1:12">
      <c r="J13" t="s">
        <v>16</v>
      </c>
    </row>
    <row r="14" spans="1:12">
      <c r="J14" t="s">
        <v>17</v>
      </c>
      <c r="L14" t="s">
        <v>18</v>
      </c>
    </row>
    <row r="15" spans="1:12">
      <c r="A15" t="s">
        <v>19</v>
      </c>
    </row>
    <row r="16" spans="1:12">
      <c r="C16" t="s">
        <v>20</v>
      </c>
      <c r="D16" t="s">
        <v>21</v>
      </c>
      <c r="F16" s="4" t="s">
        <v>22</v>
      </c>
      <c r="G16" s="4" t="s">
        <v>23</v>
      </c>
      <c r="H16" s="4" t="s">
        <v>24</v>
      </c>
      <c r="I16" s="4"/>
      <c r="J16" s="4" t="s">
        <v>25</v>
      </c>
      <c r="K16" s="4"/>
      <c r="L16" s="4" t="s">
        <v>26</v>
      </c>
    </row>
    <row r="17" spans="1:12">
      <c r="C17" t="s">
        <v>27</v>
      </c>
    </row>
    <row r="18" spans="1:12">
      <c r="C18" t="s">
        <v>28</v>
      </c>
    </row>
    <row r="19" spans="1:12">
      <c r="A19" s="7" t="s">
        <v>29</v>
      </c>
      <c r="B19" s="7"/>
      <c r="C19" s="7" t="s">
        <v>30</v>
      </c>
      <c r="D19" s="7">
        <v>304</v>
      </c>
      <c r="E19" s="7"/>
      <c r="F19" s="7">
        <v>290110</v>
      </c>
      <c r="G19" s="7">
        <v>1986</v>
      </c>
      <c r="H19" s="8">
        <v>25356.880000000001</v>
      </c>
      <c r="I19" s="8"/>
      <c r="J19" s="8">
        <v>26597.38</v>
      </c>
      <c r="K19" s="8"/>
      <c r="L19" s="8">
        <v>75081.570000000007</v>
      </c>
    </row>
    <row r="20" spans="1:12">
      <c r="A20" t="s">
        <v>31</v>
      </c>
      <c r="H20" s="5"/>
      <c r="I20" s="5"/>
      <c r="J20" s="5"/>
      <c r="K20" s="5"/>
      <c r="L20" s="5"/>
    </row>
    <row r="21" spans="1:12">
      <c r="C21" t="s">
        <v>53</v>
      </c>
      <c r="H21" s="5"/>
      <c r="I21" s="5"/>
      <c r="J21" s="5"/>
      <c r="K21" s="5"/>
      <c r="L21" s="5"/>
    </row>
    <row r="22" spans="1:12">
      <c r="C22" t="s">
        <v>32</v>
      </c>
      <c r="H22" s="5"/>
      <c r="I22" s="5"/>
      <c r="J22" s="5"/>
      <c r="K22" s="5"/>
      <c r="L22" s="5"/>
    </row>
    <row r="23" spans="1:12">
      <c r="A23" s="7" t="s">
        <v>29</v>
      </c>
      <c r="B23" s="7"/>
      <c r="C23" s="7" t="s">
        <v>33</v>
      </c>
      <c r="D23" s="7">
        <v>304</v>
      </c>
      <c r="E23" s="7"/>
      <c r="F23" s="7">
        <v>607825</v>
      </c>
      <c r="G23" s="7">
        <v>609</v>
      </c>
      <c r="H23" s="8">
        <v>5635.21</v>
      </c>
      <c r="I23" s="8"/>
      <c r="J23" s="8">
        <v>5994.76</v>
      </c>
      <c r="K23" s="8"/>
      <c r="L23" s="8">
        <v>17179.71</v>
      </c>
    </row>
    <row r="24" spans="1:12">
      <c r="A24" t="s">
        <v>31</v>
      </c>
      <c r="H24" s="5"/>
      <c r="I24" s="5"/>
      <c r="J24" s="5"/>
      <c r="K24" s="5"/>
      <c r="L24" s="5"/>
    </row>
    <row r="25" spans="1:12">
      <c r="C25" t="s">
        <v>34</v>
      </c>
      <c r="H25" s="5"/>
      <c r="I25" s="5"/>
      <c r="J25" s="5"/>
      <c r="K25" s="5"/>
      <c r="L25" s="5"/>
    </row>
    <row r="26" spans="1:12">
      <c r="C26" t="s">
        <v>35</v>
      </c>
      <c r="H26" s="5"/>
      <c r="I26" s="5"/>
      <c r="J26" s="5"/>
      <c r="K26" s="5"/>
      <c r="L26" s="5"/>
    </row>
    <row r="27" spans="1:12">
      <c r="A27" s="7" t="s">
        <v>29</v>
      </c>
      <c r="B27" s="7"/>
      <c r="C27" s="7" t="s">
        <v>36</v>
      </c>
      <c r="D27" s="7">
        <v>304</v>
      </c>
      <c r="E27" s="7"/>
      <c r="F27" s="7">
        <v>20000</v>
      </c>
      <c r="G27" s="7">
        <v>10</v>
      </c>
      <c r="H27" s="8">
        <v>104</v>
      </c>
      <c r="I27" s="8"/>
      <c r="J27" s="8">
        <v>133.96</v>
      </c>
      <c r="K27" s="8"/>
      <c r="L27" s="8">
        <v>329</v>
      </c>
    </row>
    <row r="28" spans="1:12">
      <c r="A28" t="s">
        <v>31</v>
      </c>
      <c r="H28" s="5"/>
      <c r="I28" s="5"/>
      <c r="J28" s="5"/>
      <c r="K28" s="5"/>
      <c r="L28" s="5"/>
    </row>
    <row r="29" spans="1:12">
      <c r="C29" t="s">
        <v>37</v>
      </c>
      <c r="H29" s="5"/>
      <c r="I29" s="5"/>
      <c r="J29" s="5"/>
      <c r="K29" s="5"/>
      <c r="L29" s="5"/>
    </row>
    <row r="30" spans="1:12">
      <c r="C30" t="s">
        <v>38</v>
      </c>
      <c r="H30" s="5"/>
      <c r="I30" s="5"/>
      <c r="J30" s="5"/>
      <c r="K30" s="5"/>
      <c r="L30" s="5"/>
    </row>
    <row r="31" spans="1:12">
      <c r="A31" s="7" t="s">
        <v>29</v>
      </c>
      <c r="B31" s="7"/>
      <c r="C31" s="7" t="s">
        <v>39</v>
      </c>
      <c r="D31" s="7">
        <v>304</v>
      </c>
      <c r="E31" s="7"/>
      <c r="F31" s="7">
        <v>59100</v>
      </c>
      <c r="G31" s="7">
        <v>308</v>
      </c>
      <c r="H31" s="8">
        <v>3041.08</v>
      </c>
      <c r="I31" s="8"/>
      <c r="J31" s="8">
        <v>3238.44</v>
      </c>
      <c r="K31" s="8"/>
      <c r="L31" s="8">
        <v>8711.91</v>
      </c>
    </row>
    <row r="32" spans="1:12">
      <c r="A32" t="s">
        <v>31</v>
      </c>
      <c r="H32" s="5"/>
      <c r="I32" s="5"/>
      <c r="J32" s="5"/>
      <c r="K32" s="5"/>
      <c r="L32" s="5"/>
    </row>
    <row r="33" spans="1:12">
      <c r="C33" t="s">
        <v>40</v>
      </c>
      <c r="H33" s="5"/>
      <c r="I33" s="5"/>
      <c r="J33" s="5"/>
      <c r="K33" s="5"/>
      <c r="L33" s="5"/>
    </row>
    <row r="34" spans="1:12">
      <c r="C34" t="s">
        <v>41</v>
      </c>
      <c r="H34" s="5"/>
      <c r="I34" s="5"/>
      <c r="J34" s="5"/>
      <c r="K34" s="5"/>
      <c r="L34" s="5"/>
    </row>
    <row r="35" spans="1:12">
      <c r="A35" s="7" t="s">
        <v>29</v>
      </c>
      <c r="B35" s="7"/>
      <c r="C35" s="7" t="s">
        <v>42</v>
      </c>
      <c r="D35" s="7">
        <v>304</v>
      </c>
      <c r="E35" s="7"/>
      <c r="F35" s="7">
        <v>1693065</v>
      </c>
      <c r="G35" s="7">
        <v>2628</v>
      </c>
      <c r="H35" s="8">
        <v>28894.84</v>
      </c>
      <c r="I35" s="8"/>
      <c r="J35" s="8">
        <v>30469.360000000001</v>
      </c>
      <c r="K35" s="8"/>
      <c r="L35" s="8">
        <v>82921.53</v>
      </c>
    </row>
    <row r="36" spans="1:12">
      <c r="A36" t="s">
        <v>31</v>
      </c>
      <c r="H36" s="5"/>
      <c r="I36" s="5"/>
      <c r="J36" s="5"/>
      <c r="K36" s="5"/>
      <c r="L36" s="5"/>
    </row>
    <row r="37" spans="1:12">
      <c r="C37" t="s">
        <v>43</v>
      </c>
      <c r="H37" s="5"/>
      <c r="I37" s="5"/>
      <c r="J37" s="5"/>
      <c r="K37" s="5"/>
      <c r="L37" s="5"/>
    </row>
    <row r="38" spans="1:12">
      <c r="C38" t="s">
        <v>44</v>
      </c>
      <c r="H38" s="5"/>
      <c r="I38" s="5"/>
      <c r="J38" s="5"/>
      <c r="K38" s="5"/>
      <c r="L38" s="5"/>
    </row>
    <row r="39" spans="1:12">
      <c r="A39" s="7" t="s">
        <v>29</v>
      </c>
      <c r="B39" s="7"/>
      <c r="C39" s="7" t="s">
        <v>42</v>
      </c>
      <c r="D39" s="7">
        <v>316</v>
      </c>
      <c r="E39" s="7"/>
      <c r="F39" s="7">
        <v>19020</v>
      </c>
      <c r="G39" s="7">
        <v>52</v>
      </c>
      <c r="H39" s="8">
        <v>541.15</v>
      </c>
      <c r="I39" s="8"/>
      <c r="J39" s="8">
        <v>671.02</v>
      </c>
      <c r="K39" s="8"/>
      <c r="L39" s="8">
        <v>2920.2</v>
      </c>
    </row>
    <row r="40" spans="1:12" ht="15.75" thickBot="1">
      <c r="A40" t="s">
        <v>31</v>
      </c>
      <c r="H40" s="6">
        <f>SUM(H19:H39)</f>
        <v>63573.159999999996</v>
      </c>
      <c r="I40" s="6"/>
      <c r="J40" s="6">
        <f>SUM(J19:J39)</f>
        <v>67104.92</v>
      </c>
      <c r="K40" s="6"/>
      <c r="L40" s="6">
        <f>SUM(L19:L39)</f>
        <v>187143.92</v>
      </c>
    </row>
    <row r="41" spans="1:12" ht="15.75" thickTop="1">
      <c r="A41" t="s">
        <v>45</v>
      </c>
      <c r="C41">
        <v>2689120</v>
      </c>
      <c r="D41" t="s">
        <v>46</v>
      </c>
      <c r="E41">
        <v>5593</v>
      </c>
      <c r="F41" t="s">
        <v>23</v>
      </c>
    </row>
    <row r="42" spans="1:12">
      <c r="A42" t="s">
        <v>47</v>
      </c>
      <c r="D42">
        <v>63573.16</v>
      </c>
    </row>
    <row r="43" spans="1:12">
      <c r="A43" t="s">
        <v>48</v>
      </c>
      <c r="D43">
        <v>67104.92</v>
      </c>
    </row>
    <row r="44" spans="1:12">
      <c r="A44" t="s">
        <v>49</v>
      </c>
      <c r="C44" s="3">
        <v>134</v>
      </c>
      <c r="D44" t="s">
        <v>50</v>
      </c>
      <c r="F44" s="15" t="s">
        <v>54</v>
      </c>
      <c r="G44" s="15"/>
      <c r="H44" s="10" t="s">
        <v>55</v>
      </c>
      <c r="I44" s="10" t="s">
        <v>56</v>
      </c>
      <c r="J44" s="10" t="s">
        <v>57</v>
      </c>
      <c r="K44" s="10" t="s">
        <v>58</v>
      </c>
      <c r="L44" s="9"/>
    </row>
    <row r="45" spans="1:12">
      <c r="F45" s="16" t="s">
        <v>59</v>
      </c>
      <c r="G45" s="16"/>
      <c r="H45" s="11">
        <v>16301.46</v>
      </c>
      <c r="I45" s="11">
        <v>17205.419999999998</v>
      </c>
      <c r="J45" s="13">
        <v>35</v>
      </c>
      <c r="K45" s="11">
        <v>49949.22</v>
      </c>
    </row>
    <row r="46" spans="1:12">
      <c r="F46" s="16" t="s">
        <v>60</v>
      </c>
      <c r="G46" s="16"/>
      <c r="H46" s="11">
        <v>16510.2</v>
      </c>
      <c r="I46" s="11">
        <v>17467.16</v>
      </c>
      <c r="J46" s="13">
        <v>36</v>
      </c>
      <c r="K46" s="11">
        <v>47146.77</v>
      </c>
    </row>
    <row r="47" spans="1:12">
      <c r="A47" s="2" t="s">
        <v>51</v>
      </c>
      <c r="B47" s="2" t="s">
        <v>52</v>
      </c>
      <c r="F47" s="16" t="s">
        <v>61</v>
      </c>
      <c r="G47" s="16"/>
      <c r="H47" s="11">
        <v>16396.21</v>
      </c>
      <c r="I47" s="11">
        <v>17389.41</v>
      </c>
      <c r="J47" s="13">
        <v>38</v>
      </c>
      <c r="K47" s="11">
        <v>48461.27</v>
      </c>
    </row>
    <row r="48" spans="1:12">
      <c r="F48" s="16" t="s">
        <v>5</v>
      </c>
      <c r="G48" s="16"/>
      <c r="H48" s="11">
        <v>14365.29</v>
      </c>
      <c r="I48" s="11">
        <v>15042.93</v>
      </c>
      <c r="J48" s="13">
        <v>25</v>
      </c>
      <c r="K48" s="11">
        <v>41586.660000000003</v>
      </c>
    </row>
    <row r="49" spans="6:11">
      <c r="F49" s="15" t="s">
        <v>62</v>
      </c>
      <c r="G49" s="15"/>
      <c r="H49" s="12">
        <f>SUM(H45:H48)</f>
        <v>63573.16</v>
      </c>
      <c r="I49" s="12">
        <f>SUM(I45:I48)</f>
        <v>67104.920000000013</v>
      </c>
      <c r="J49" s="14">
        <f>SUM(J45:J48)</f>
        <v>134</v>
      </c>
      <c r="K49" s="12">
        <f>SUM(K45:K48)</f>
        <v>187143.91999999998</v>
      </c>
    </row>
  </sheetData>
  <mergeCells count="6">
    <mergeCell ref="F44:G44"/>
    <mergeCell ref="F49:G49"/>
    <mergeCell ref="F48:G48"/>
    <mergeCell ref="F47:G47"/>
    <mergeCell ref="F46:G46"/>
    <mergeCell ref="F45:G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R5953007_YC001_546665_PDF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SHIPPING02</dc:creator>
  <cp:lastModifiedBy>A</cp:lastModifiedBy>
  <dcterms:created xsi:type="dcterms:W3CDTF">2026-10-07T12:55:14Z</dcterms:created>
  <dcterms:modified xsi:type="dcterms:W3CDTF">2026-10-08T10:20:33Z</dcterms:modified>
</cp:coreProperties>
</file>